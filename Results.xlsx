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parallel computing project\"/>
    </mc:Choice>
  </mc:AlternateContent>
  <xr:revisionPtr revIDLastSave="0" documentId="13_ncr:1_{8D4FCA9D-FEC7-4A2A-8F19-53FFE1E2C66E}" xr6:coauthVersionLast="47" xr6:coauthVersionMax="47" xr10:uidLastSave="{00000000-0000-0000-0000-000000000000}"/>
  <bookViews>
    <workbookView xWindow="-108" yWindow="-108" windowWidth="23256" windowHeight="12456" xr2:uid="{D999D635-9697-4164-8AB5-78A43FC2F41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44" i="1" l="1"/>
  <c r="X45" i="1"/>
  <c r="X46" i="1"/>
  <c r="X47" i="1"/>
  <c r="X43" i="1"/>
  <c r="V47" i="1"/>
  <c r="V46" i="1"/>
  <c r="V45" i="1"/>
  <c r="P25" i="1"/>
  <c r="P24" i="1"/>
  <c r="P23" i="1"/>
  <c r="P22" i="1"/>
  <c r="Q22" i="1"/>
  <c r="W47" i="1"/>
  <c r="W46" i="1"/>
  <c r="W45" i="1"/>
  <c r="V44" i="1"/>
  <c r="W44" i="1" s="1"/>
  <c r="N15" i="1"/>
  <c r="O15" i="1"/>
  <c r="M15" i="1"/>
  <c r="L15" i="1"/>
  <c r="O14" i="1"/>
  <c r="N14" i="1"/>
  <c r="M14" i="1"/>
  <c r="L14" i="1"/>
  <c r="O13" i="1"/>
  <c r="N13" i="1"/>
  <c r="M13" i="1"/>
  <c r="L13" i="1"/>
  <c r="B5" i="1"/>
  <c r="O6" i="1"/>
  <c r="P6" i="1"/>
  <c r="R22" i="1"/>
  <c r="R23" i="1"/>
  <c r="R24" i="1"/>
  <c r="R25" i="1"/>
  <c r="R21" i="1"/>
  <c r="H30" i="1"/>
  <c r="H31" i="1"/>
  <c r="H32" i="1"/>
  <c r="H29" i="1"/>
  <c r="H23" i="1"/>
  <c r="H21" i="1"/>
  <c r="H22" i="1"/>
  <c r="H20" i="1"/>
  <c r="O5" i="1"/>
  <c r="P5" i="1"/>
  <c r="Q5" i="1"/>
  <c r="N5" i="1"/>
  <c r="I5" i="1"/>
  <c r="J5" i="1"/>
  <c r="K5" i="1"/>
  <c r="H5" i="1"/>
  <c r="C5" i="1"/>
  <c r="D5" i="1"/>
  <c r="E5" i="1"/>
  <c r="F30" i="1"/>
  <c r="F32" i="1"/>
  <c r="F31" i="1"/>
  <c r="G31" i="1" s="1"/>
  <c r="G30" i="1"/>
  <c r="G22" i="1"/>
  <c r="G21" i="1"/>
  <c r="F23" i="1"/>
  <c r="F22" i="1"/>
  <c r="F21" i="1"/>
  <c r="J6" i="1"/>
  <c r="I6" i="1"/>
  <c r="Q23" i="1"/>
  <c r="Q7" i="1"/>
  <c r="P7" i="1"/>
  <c r="O7" i="1"/>
  <c r="Q24" i="1"/>
  <c r="Q25" i="1"/>
  <c r="D6" i="1"/>
  <c r="C6" i="1"/>
  <c r="K7" i="1"/>
  <c r="J7" i="1"/>
  <c r="I7" i="1"/>
  <c r="E7" i="1"/>
  <c r="D7" i="1"/>
  <c r="C7" i="1"/>
</calcChain>
</file>

<file path=xl/sharedStrings.xml><?xml version="1.0" encoding="utf-8"?>
<sst xmlns="http://schemas.openxmlformats.org/spreadsheetml/2006/main" count="108" uniqueCount="39">
  <si>
    <t>Grid</t>
  </si>
  <si>
    <t>sequential</t>
  </si>
  <si>
    <t>openMP</t>
  </si>
  <si>
    <t>mixed Open/mpi</t>
  </si>
  <si>
    <t>cuda</t>
  </si>
  <si>
    <t>Threads</t>
  </si>
  <si>
    <t>MLUPS</t>
  </si>
  <si>
    <t>2000x2000</t>
  </si>
  <si>
    <t>4000x4000</t>
  </si>
  <si>
    <t>L'Efficacité</t>
  </si>
  <si>
    <t>Speedup</t>
  </si>
  <si>
    <t>8000x8000</t>
  </si>
  <si>
    <t xml:space="preserve">number of generations : </t>
  </si>
  <si>
    <t xml:space="preserve">grid </t>
  </si>
  <si>
    <t>1760x1696</t>
  </si>
  <si>
    <t>50x50</t>
  </si>
  <si>
    <t>10000 iterations</t>
  </si>
  <si>
    <t>grid</t>
  </si>
  <si>
    <t>100x100</t>
  </si>
  <si>
    <t>threads</t>
  </si>
  <si>
    <t>/</t>
  </si>
  <si>
    <t>Temps_Total (s)</t>
  </si>
  <si>
    <t>2P x 3T</t>
  </si>
  <si>
    <t>seq (time in secondes)</t>
  </si>
  <si>
    <t>mixed 2P x 3T (time in secondes)</t>
  </si>
  <si>
    <t>cuda(time in secondes)</t>
  </si>
  <si>
    <t>openMP (6 threads) (time in secondes)</t>
  </si>
  <si>
    <t>OpenMp (time in sec)</t>
  </si>
  <si>
    <t>500 iter</t>
  </si>
  <si>
    <t>speedup for 1000 gen</t>
  </si>
  <si>
    <t>efficienty</t>
  </si>
  <si>
    <t>speedup for 1000000 gen</t>
  </si>
  <si>
    <t>MLUPS for 1000 gen</t>
  </si>
  <si>
    <t>OpenMP</t>
  </si>
  <si>
    <t>Cuda</t>
  </si>
  <si>
    <t>Hybrid</t>
  </si>
  <si>
    <t>Sequential</t>
  </si>
  <si>
    <t>Grid size</t>
  </si>
  <si>
    <t>250 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</si>
</sst>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 wrapText="1"/>
    </xf>
    <xf numFmtId="9" fontId="0" fillId="0" borderId="0" xfId="1" applyFont="1"/>
    <xf numFmtId="0" fontId="3" fillId="0" borderId="1" xfId="0" applyFont="1" applyBorder="1" applyAlignment="1">
      <alignment horizontal="left" vertical="center" wrapText="1" indent="1"/>
    </xf>
    <xf numFmtId="0" fontId="3" fillId="0" borderId="2" xfId="0" applyFont="1" applyFill="1" applyBorder="1" applyAlignment="1">
      <alignment horizontal="left" vertical="center" wrapText="1" indent="1"/>
    </xf>
    <xf numFmtId="169" fontId="0" fillId="0" borderId="0" xfId="0" applyNumberFormat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Execution time (seconds)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(Feuil1!$B$1,Feuil1!$B$1:$E$1)</c15:sqref>
                  </c15:fullRef>
                </c:ext>
              </c:extLst>
              <c:f>Feuil1!$B$1:$E$1</c:f>
              <c:strCache>
                <c:ptCount val="4"/>
                <c:pt idx="0">
                  <c:v>sequential</c:v>
                </c:pt>
                <c:pt idx="1">
                  <c:v>openMP</c:v>
                </c:pt>
                <c:pt idx="2">
                  <c:v>mixed Open/mpi</c:v>
                </c:pt>
                <c:pt idx="3">
                  <c:v>cuda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(Feuil1!$B$4,Feuil1!$B$4:$E$4)</c15:sqref>
                  </c15:fullRef>
                </c:ext>
              </c:extLst>
              <c:f>Feuil1!$B$4:$E$4</c:f>
              <c:numCache>
                <c:formatCode>General</c:formatCode>
                <c:ptCount val="4"/>
                <c:pt idx="0">
                  <c:v>46.534999999999997</c:v>
                </c:pt>
                <c:pt idx="1">
                  <c:v>9.3059999999999992</c:v>
                </c:pt>
                <c:pt idx="2">
                  <c:v>9.3267310000000005</c:v>
                </c:pt>
                <c:pt idx="3">
                  <c:v>5.8103000000000002E-2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7A-48A7-B6D5-52EE35AF29C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500848"/>
        <c:axId val="11514768"/>
      </c:barChart>
      <c:catAx>
        <c:axId val="1150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14768"/>
        <c:crosses val="autoZero"/>
        <c:auto val="1"/>
        <c:lblAlgn val="ctr"/>
        <c:lblOffset val="100"/>
        <c:noMultiLvlLbl val="0"/>
      </c:catAx>
      <c:valAx>
        <c:axId val="115147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0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Execution time (seconds)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Feuil1!$H$1:$K$1</c:f>
              <c:strCache>
                <c:ptCount val="4"/>
                <c:pt idx="0">
                  <c:v>sequential</c:v>
                </c:pt>
                <c:pt idx="1">
                  <c:v>openMP</c:v>
                </c:pt>
                <c:pt idx="2">
                  <c:v>mixed Open/mpi</c:v>
                </c:pt>
                <c:pt idx="3">
                  <c:v>cuda</c:v>
                </c:pt>
              </c:strCache>
            </c:strRef>
          </c:cat>
          <c:val>
            <c:numRef>
              <c:f>Feuil1!$H$4:$K$4</c:f>
              <c:numCache>
                <c:formatCode>General</c:formatCode>
                <c:ptCount val="4"/>
                <c:pt idx="0">
                  <c:v>184.744</c:v>
                </c:pt>
                <c:pt idx="1">
                  <c:v>36.371000000000002</c:v>
                </c:pt>
                <c:pt idx="2">
                  <c:v>36.603769999999997</c:v>
                </c:pt>
                <c:pt idx="3">
                  <c:v>0.26892700000000003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4-4F7C-B137-3B2D1A469AA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498448"/>
        <c:axId val="11515248"/>
      </c:barChart>
      <c:catAx>
        <c:axId val="1149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15248"/>
        <c:crosses val="autoZero"/>
        <c:auto val="1"/>
        <c:lblAlgn val="ctr"/>
        <c:lblOffset val="100"/>
        <c:noMultiLvlLbl val="0"/>
      </c:catAx>
      <c:valAx>
        <c:axId val="115152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49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Execution time (seconds)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Feuil1!$N$1:$Q$1</c:f>
              <c:strCache>
                <c:ptCount val="4"/>
                <c:pt idx="0">
                  <c:v>sequential</c:v>
                </c:pt>
                <c:pt idx="1">
                  <c:v>openMP</c:v>
                </c:pt>
                <c:pt idx="2">
                  <c:v>mixed Open/mpi</c:v>
                </c:pt>
                <c:pt idx="3">
                  <c:v>cuda</c:v>
                </c:pt>
              </c:strCache>
            </c:strRef>
          </c:cat>
          <c:val>
            <c:numRef>
              <c:f>Feuil1!$N$4:$Q$4</c:f>
              <c:numCache>
                <c:formatCode>General</c:formatCode>
                <c:ptCount val="4"/>
                <c:pt idx="0">
                  <c:v>931.87900000000002</c:v>
                </c:pt>
                <c:pt idx="1">
                  <c:v>143.667</c:v>
                </c:pt>
                <c:pt idx="2">
                  <c:v>144.50093200000001</c:v>
                </c:pt>
                <c:pt idx="3">
                  <c:v>0.675956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5-46A5-9B50-2A3E03672DB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522448"/>
        <c:axId val="11523408"/>
      </c:barChart>
      <c:catAx>
        <c:axId val="1152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23408"/>
        <c:crosses val="autoZero"/>
        <c:auto val="1"/>
        <c:lblAlgn val="ctr"/>
        <c:lblOffset val="100"/>
        <c:noMultiLvlLbl val="0"/>
      </c:catAx>
      <c:valAx>
        <c:axId val="115234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52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261592300962376E-2"/>
          <c:y val="7.407407407407407E-2"/>
          <c:w val="0.87129396325459318"/>
          <c:h val="0.84204505686789155"/>
        </c:manualLayout>
      </c:layout>
      <c:lineChart>
        <c:grouping val="standard"/>
        <c:varyColors val="0"/>
        <c:ser>
          <c:idx val="0"/>
          <c:order val="0"/>
          <c:tx>
            <c:v>Efficiency OpenMP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(Feuil1!$B$27,Feuil1!$B$18,Feuil1!$B$2,Feuil1!$H$2,Feuil1!$N$2)</c:f>
              <c:strCache>
                <c:ptCount val="5"/>
                <c:pt idx="0">
                  <c:v>50x50</c:v>
                </c:pt>
                <c:pt idx="1">
                  <c:v>1760x1696</c:v>
                </c:pt>
                <c:pt idx="2">
                  <c:v>2000x2000</c:v>
                </c:pt>
                <c:pt idx="3">
                  <c:v>4000x4000</c:v>
                </c:pt>
                <c:pt idx="4">
                  <c:v>8000x8000</c:v>
                </c:pt>
              </c:strCache>
            </c:strRef>
          </c:cat>
          <c:val>
            <c:numRef>
              <c:f>(Feuil1!$G$30,Feuil1!$G$21,Feuil1!$C$6,Feuil1!$I$6,Feuil1!$O$6)</c:f>
              <c:numCache>
                <c:formatCode>0%</c:formatCode>
                <c:ptCount val="5"/>
                <c:pt idx="0">
                  <c:v>0.19927971558315929</c:v>
                </c:pt>
                <c:pt idx="1">
                  <c:v>0.848252470137148</c:v>
                </c:pt>
                <c:pt idx="2">
                  <c:v>0.8334228812952218</c:v>
                </c:pt>
                <c:pt idx="3">
                  <c:v>0.84657190252307235</c:v>
                </c:pt>
                <c:pt idx="4">
                  <c:v>1.0810636170217702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FB-4D2C-86CA-6F680906903D}"/>
            </c:ext>
          </c:extLst>
        </c:ser>
        <c:ser>
          <c:idx val="1"/>
          <c:order val="1"/>
          <c:tx>
            <c:v>Efficiency OpenMP + MPI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(Feuil1!$G$31,Feuil1!$G$22,Feuil1!$D$6,Feuil1!$J$6,Feuil1!$P$6)</c:f>
              <c:numCache>
                <c:formatCode>0%</c:formatCode>
                <c:ptCount val="5"/>
                <c:pt idx="0">
                  <c:v>0.27761085791020951</c:v>
                </c:pt>
                <c:pt idx="1">
                  <c:v>0.92336800083603976</c:v>
                </c:pt>
                <c:pt idx="2">
                  <c:v>0.83157038981110665</c:v>
                </c:pt>
                <c:pt idx="3">
                  <c:v>0.84118839853563365</c:v>
                </c:pt>
                <c:pt idx="4">
                  <c:v>1.0748246707963562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FB-4D2C-86CA-6F6809069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93648"/>
        <c:axId val="11510448"/>
      </c:lineChart>
      <c:catAx>
        <c:axId val="1149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10448"/>
        <c:crosses val="autoZero"/>
        <c:auto val="1"/>
        <c:lblAlgn val="ctr"/>
        <c:lblOffset val="100"/>
        <c:noMultiLvlLbl val="0"/>
      </c:catAx>
      <c:valAx>
        <c:axId val="1151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9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Scalling</a:t>
            </a:r>
            <a:r>
              <a:rPr lang="fr-FR" baseline="0"/>
              <a:t> of execution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Sequential execution time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(Feuil1!$B$2,Feuil1!$H$2,Feuil1!$N$2)</c:f>
              <c:strCache>
                <c:ptCount val="3"/>
                <c:pt idx="0">
                  <c:v>2000x2000</c:v>
                </c:pt>
                <c:pt idx="1">
                  <c:v>4000x4000</c:v>
                </c:pt>
                <c:pt idx="2">
                  <c:v>8000x8000</c:v>
                </c:pt>
              </c:strCache>
            </c:strRef>
          </c:cat>
          <c:val>
            <c:numRef>
              <c:f>(Feuil1!$B$4,Feuil1!$H$4,Feuil1!$N$4)</c:f>
              <c:numCache>
                <c:formatCode>General</c:formatCode>
                <c:ptCount val="3"/>
                <c:pt idx="0">
                  <c:v>46.534999999999997</c:v>
                </c:pt>
                <c:pt idx="1">
                  <c:v>184.744</c:v>
                </c:pt>
                <c:pt idx="2">
                  <c:v>931.87900000000002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CD-4E13-82D1-7B983B0940CF}"/>
            </c:ext>
          </c:extLst>
        </c:ser>
        <c:ser>
          <c:idx val="1"/>
          <c:order val="1"/>
          <c:tx>
            <c:v>OpenMP execution time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(Feuil1!$B$2,Feuil1!$H$2,Feuil1!$N$2)</c:f>
              <c:strCache>
                <c:ptCount val="3"/>
                <c:pt idx="0">
                  <c:v>2000x2000</c:v>
                </c:pt>
                <c:pt idx="1">
                  <c:v>4000x4000</c:v>
                </c:pt>
                <c:pt idx="2">
                  <c:v>8000x8000</c:v>
                </c:pt>
              </c:strCache>
            </c:strRef>
          </c:cat>
          <c:val>
            <c:numRef>
              <c:f>(Feuil1!$C$4,Feuil1!$I$4,Feuil1!$O$4)</c:f>
              <c:numCache>
                <c:formatCode>General</c:formatCode>
                <c:ptCount val="3"/>
                <c:pt idx="0">
                  <c:v>9.3059999999999992</c:v>
                </c:pt>
                <c:pt idx="1">
                  <c:v>36.371000000000002</c:v>
                </c:pt>
                <c:pt idx="2">
                  <c:v>143.667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CD-4E13-82D1-7B983B0940CF}"/>
            </c:ext>
          </c:extLst>
        </c:ser>
        <c:ser>
          <c:idx val="2"/>
          <c:order val="2"/>
          <c:tx>
            <c:v>Cuda execution time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(Feuil1!$B$2,Feuil1!$H$2,Feuil1!$N$2)</c:f>
              <c:strCache>
                <c:ptCount val="3"/>
                <c:pt idx="0">
                  <c:v>2000x2000</c:v>
                </c:pt>
                <c:pt idx="1">
                  <c:v>4000x4000</c:v>
                </c:pt>
                <c:pt idx="2">
                  <c:v>8000x8000</c:v>
                </c:pt>
              </c:strCache>
            </c:strRef>
          </c:cat>
          <c:val>
            <c:numRef>
              <c:f>(Feuil1!$E$4,Feuil1!$K$4,Feuil1!$Q$4)</c:f>
              <c:numCache>
                <c:formatCode>General</c:formatCode>
                <c:ptCount val="3"/>
                <c:pt idx="0">
                  <c:v>5.8103000000000002E-2</c:v>
                </c:pt>
                <c:pt idx="1">
                  <c:v>0.26892700000000003</c:v>
                </c:pt>
                <c:pt idx="2">
                  <c:v>0.675956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CD-4E13-82D1-7B983B094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597872"/>
        <c:axId val="345599312"/>
      </c:lineChart>
      <c:catAx>
        <c:axId val="34559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5599312"/>
        <c:crosses val="autoZero"/>
        <c:auto val="1"/>
        <c:lblAlgn val="ctr"/>
        <c:lblOffset val="100"/>
        <c:noMultiLvlLbl val="0"/>
      </c:catAx>
      <c:valAx>
        <c:axId val="34559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559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Speedup vs. grid size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Speedup OpenMP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(Feuil1!$B$27,Feuil1!$B$2,Feuil1!$H$2,Feuil1!$N$2)</c:f>
              <c:strCache>
                <c:ptCount val="4"/>
                <c:pt idx="0">
                  <c:v>50x50</c:v>
                </c:pt>
                <c:pt idx="1">
                  <c:v>2000x2000</c:v>
                </c:pt>
                <c:pt idx="2">
                  <c:v>4000x4000</c:v>
                </c:pt>
                <c:pt idx="3">
                  <c:v>8000x8000</c:v>
                </c:pt>
              </c:strCache>
            </c:strRef>
          </c:cat>
          <c:val>
            <c:numRef>
              <c:f>(Feuil1!$F$30,Feuil1!$C$7,Feuil1!$I$7,Feuil1!$O$7)</c:f>
              <c:numCache>
                <c:formatCode>General</c:formatCode>
                <c:ptCount val="4"/>
                <c:pt idx="0">
                  <c:v>1.1956782934989558</c:v>
                </c:pt>
                <c:pt idx="1">
                  <c:v>5.0005372877713308</c:v>
                </c:pt>
                <c:pt idx="2">
                  <c:v>5.0794314151384343</c:v>
                </c:pt>
                <c:pt idx="3">
                  <c:v>6.4863817021306218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BE-4506-9EF1-A8AA87C8E94A}"/>
            </c:ext>
          </c:extLst>
        </c:ser>
        <c:ser>
          <c:idx val="1"/>
          <c:order val="1"/>
          <c:tx>
            <c:v>Speedup mixed OpenMP + MPI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(Feuil1!$B$27,Feuil1!$B$2,Feuil1!$H$2,Feuil1!$N$2)</c:f>
              <c:strCache>
                <c:ptCount val="4"/>
                <c:pt idx="0">
                  <c:v>50x50</c:v>
                </c:pt>
                <c:pt idx="1">
                  <c:v>2000x2000</c:v>
                </c:pt>
                <c:pt idx="2">
                  <c:v>4000x4000</c:v>
                </c:pt>
                <c:pt idx="3">
                  <c:v>8000x8000</c:v>
                </c:pt>
              </c:strCache>
            </c:strRef>
          </c:cat>
          <c:val>
            <c:numRef>
              <c:f>(Feuil1!$F$31,Feuil1!$D$7,Feuil1!$J$7,Feuil1!$P$7)</c:f>
              <c:numCache>
                <c:formatCode>General</c:formatCode>
                <c:ptCount val="4"/>
                <c:pt idx="0">
                  <c:v>1.6656651474612569</c:v>
                </c:pt>
                <c:pt idx="1">
                  <c:v>4.9894223388666399</c:v>
                </c:pt>
                <c:pt idx="2">
                  <c:v>5.0471303912138019</c:v>
                </c:pt>
                <c:pt idx="3">
                  <c:v>6.4489480247781374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BE-4506-9EF1-A8AA87C8E94A}"/>
            </c:ext>
          </c:extLst>
        </c:ser>
        <c:ser>
          <c:idx val="2"/>
          <c:order val="2"/>
          <c:tx>
            <c:v>Speedup Cuda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(Feuil1!$B$27,Feuil1!$B$2,Feuil1!$H$2,Feuil1!$N$2)</c:f>
              <c:strCache>
                <c:ptCount val="4"/>
                <c:pt idx="0">
                  <c:v>50x50</c:v>
                </c:pt>
                <c:pt idx="1">
                  <c:v>2000x2000</c:v>
                </c:pt>
                <c:pt idx="2">
                  <c:v>4000x4000</c:v>
                </c:pt>
                <c:pt idx="3">
                  <c:v>8000x8000</c:v>
                </c:pt>
              </c:strCache>
            </c:strRef>
          </c:cat>
          <c:val>
            <c:numRef>
              <c:f>(Feuil1!$F$32,Feuil1!$E$7,Feuil1!$K$7,Feuil1!$Q$7)</c:f>
              <c:numCache>
                <c:formatCode>General</c:formatCode>
                <c:ptCount val="4"/>
                <c:pt idx="0">
                  <c:v>8.6754178611544202</c:v>
                </c:pt>
                <c:pt idx="1">
                  <c:v>800.90528888353435</c:v>
                </c:pt>
                <c:pt idx="2">
                  <c:v>686.9670951596529</c:v>
                </c:pt>
                <c:pt idx="3">
                  <c:v>1378.6089627135493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BE-4506-9EF1-A8AA87C8E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3898927"/>
        <c:axId val="383884527"/>
      </c:lineChart>
      <c:catAx>
        <c:axId val="38389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3884527"/>
        <c:crosses val="autoZero"/>
        <c:auto val="1"/>
        <c:lblAlgn val="ctr"/>
        <c:lblOffset val="100"/>
        <c:noMultiLvlLbl val="0"/>
      </c:catAx>
      <c:valAx>
        <c:axId val="3838845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389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MLUPS</a:t>
            </a:r>
            <a:r>
              <a:rPr lang="fr-FR" baseline="0"/>
              <a:t> by implementations vs grid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Feuil1!$K$13</c:f>
              <c:strCache>
                <c:ptCount val="1"/>
                <c:pt idx="0">
                  <c:v>2000x2000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Feuil1!$L$12:$O$12</c:f>
              <c:strCache>
                <c:ptCount val="4"/>
                <c:pt idx="0">
                  <c:v>Sequential</c:v>
                </c:pt>
                <c:pt idx="1">
                  <c:v>OpenMP</c:v>
                </c:pt>
                <c:pt idx="2">
                  <c:v>Hybrid</c:v>
                </c:pt>
                <c:pt idx="3">
                  <c:v>Cuda</c:v>
                </c:pt>
              </c:strCache>
            </c:strRef>
          </c:cat>
          <c:val>
            <c:numRef>
              <c:f>Feuil1!$L$13:$O$13</c:f>
              <c:numCache>
                <c:formatCode>General</c:formatCode>
                <c:ptCount val="4"/>
                <c:pt idx="0">
                  <c:v>42.97840335231546</c:v>
                </c:pt>
                <c:pt idx="1">
                  <c:v>214.91510853212981</c:v>
                </c:pt>
                <c:pt idx="2">
                  <c:v>214.43740577486366</c:v>
                </c:pt>
                <c:pt idx="3">
                  <c:v>34421.630552639275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C-440E-A914-DDE8930A5473}"/>
            </c:ext>
          </c:extLst>
        </c:ser>
        <c:ser>
          <c:idx val="1"/>
          <c:order val="1"/>
          <c:tx>
            <c:strRef>
              <c:f>Feuil1!$K$14</c:f>
              <c:strCache>
                <c:ptCount val="1"/>
                <c:pt idx="0">
                  <c:v>4000x4000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Feuil1!$L$12:$O$12</c:f>
              <c:strCache>
                <c:ptCount val="4"/>
                <c:pt idx="0">
                  <c:v>Sequential</c:v>
                </c:pt>
                <c:pt idx="1">
                  <c:v>OpenMP</c:v>
                </c:pt>
                <c:pt idx="2">
                  <c:v>Hybrid</c:v>
                </c:pt>
                <c:pt idx="3">
                  <c:v>Cuda</c:v>
                </c:pt>
              </c:strCache>
            </c:strRef>
          </c:cat>
          <c:val>
            <c:numRef>
              <c:f>Feuil1!$L$14:$O$14</c:f>
              <c:numCache>
                <c:formatCode>General</c:formatCode>
                <c:ptCount val="4"/>
                <c:pt idx="0">
                  <c:v>43.303165461395231</c:v>
                </c:pt>
                <c:pt idx="1">
                  <c:v>219.95545901954853</c:v>
                </c:pt>
                <c:pt idx="2">
                  <c:v>218.55672243596766</c:v>
                </c:pt>
                <c:pt idx="3">
                  <c:v>29747.849788232495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5C-440E-A914-DDE8930A5473}"/>
            </c:ext>
          </c:extLst>
        </c:ser>
        <c:ser>
          <c:idx val="2"/>
          <c:order val="2"/>
          <c:tx>
            <c:strRef>
              <c:f>Feuil1!$K$15</c:f>
              <c:strCache>
                <c:ptCount val="1"/>
                <c:pt idx="0">
                  <c:v>8000x8000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Feuil1!$L$12:$O$12</c:f>
              <c:strCache>
                <c:ptCount val="4"/>
                <c:pt idx="0">
                  <c:v>Sequential</c:v>
                </c:pt>
                <c:pt idx="1">
                  <c:v>OpenMP</c:v>
                </c:pt>
                <c:pt idx="2">
                  <c:v>Hybrid</c:v>
                </c:pt>
                <c:pt idx="3">
                  <c:v>Cuda</c:v>
                </c:pt>
              </c:strCache>
            </c:strRef>
          </c:cat>
          <c:val>
            <c:numRef>
              <c:f>Feuil1!$L$15:$O$15</c:f>
              <c:numCache>
                <c:formatCode>General</c:formatCode>
                <c:ptCount val="4"/>
                <c:pt idx="0">
                  <c:v>34.33922215223221</c:v>
                </c:pt>
                <c:pt idx="1">
                  <c:v>222.73730223363751</c:v>
                </c:pt>
                <c:pt idx="2">
                  <c:v>221.45185887105558</c:v>
                </c:pt>
                <c:pt idx="3">
                  <c:v>47340.359431678982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5C-440E-A914-DDE8930A5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5410367"/>
        <c:axId val="615442527"/>
      </c:barChart>
      <c:catAx>
        <c:axId val="61541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5442527"/>
        <c:crosses val="autoZero"/>
        <c:auto val="1"/>
        <c:lblAlgn val="ctr"/>
        <c:lblOffset val="100"/>
        <c:noMultiLvlLbl val="0"/>
      </c:catAx>
      <c:valAx>
        <c:axId val="6154425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541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 threads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Efficiency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Feuil1!$T$43:$T$47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cat>
          <c:val>
            <c:numRef>
              <c:f>Feuil1!$W$43:$W$47</c:f>
              <c:numCache>
                <c:formatCode>0%</c:formatCode>
                <c:ptCount val="5"/>
                <c:pt idx="0" formatCode="General">
                  <c:v>1</c:v>
                </c:pt>
                <c:pt idx="1">
                  <c:v>0.98039291356004599</c:v>
                </c:pt>
                <c:pt idx="2">
                  <c:v>0.92100747314790643</c:v>
                </c:pt>
                <c:pt idx="3">
                  <c:v>0.81333427245678969</c:v>
                </c:pt>
                <c:pt idx="4">
                  <c:v>0.57735721558265252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8-4217-A537-B5C3C60D0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9670511"/>
        <c:axId val="639675791"/>
      </c:lineChart>
      <c:catAx>
        <c:axId val="639670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9675791"/>
        <c:crosses val="autoZero"/>
        <c:auto val="1"/>
        <c:lblAlgn val="ctr"/>
        <c:lblOffset val="100"/>
        <c:noMultiLvlLbl val="0"/>
      </c:catAx>
      <c:valAx>
        <c:axId val="6396757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967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 threads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Speedup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Feuil1!$T$43:$T$47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cat>
          <c:val>
            <c:numRef>
              <c:f>Feuil1!$V$43:$V$47</c:f>
              <c:numCache>
                <c:formatCode>General</c:formatCode>
                <c:ptCount val="5"/>
                <c:pt idx="0">
                  <c:v>1</c:v>
                </c:pt>
                <c:pt idx="1">
                  <c:v>1.960785827120092</c:v>
                </c:pt>
                <c:pt idx="2">
                  <c:v>3.6840298925916257</c:v>
                </c:pt>
                <c:pt idx="3">
                  <c:v>4.8800056347407379</c:v>
                </c:pt>
                <c:pt idx="4">
                  <c:v>4.6188577246612201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C-4736-9710-1C12BDCA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6037263"/>
        <c:axId val="616044463"/>
      </c:lineChart>
      <c:catAx>
        <c:axId val="616037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6044463"/>
        <c:crosses val="autoZero"/>
        <c:auto val="1"/>
        <c:lblAlgn val="ctr"/>
        <c:lblOffset val="100"/>
        <c:noMultiLvlLbl val="0"/>
      </c:catAx>
      <c:valAx>
        <c:axId val="61604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603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749367</xdr:colOff>
      <xdr:row>2</xdr:row>
      <xdr:rowOff>3260</xdr:rowOff>
    </xdr:from>
    <xdr:to>
      <xdr:col>24</xdr:col>
      <xdr:colOff>295836</xdr:colOff>
      <xdr:row>18</xdr:row>
      <xdr:rowOff>344733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858C303-FE2A-B5C4-8B78-3C5275BAD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10885</xdr:colOff>
      <xdr:row>19</xdr:row>
      <xdr:rowOff>288471</xdr:rowOff>
    </xdr:from>
    <xdr:to>
      <xdr:col>24</xdr:col>
      <xdr:colOff>609600</xdr:colOff>
      <xdr:row>27</xdr:row>
      <xdr:rowOff>277585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C5144F4-4558-9C4E-F9FC-4D49E52DF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21771</xdr:colOff>
      <xdr:row>28</xdr:row>
      <xdr:rowOff>244928</xdr:rowOff>
    </xdr:from>
    <xdr:to>
      <xdr:col>24</xdr:col>
      <xdr:colOff>620486</xdr:colOff>
      <xdr:row>37</xdr:row>
      <xdr:rowOff>48985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2FC4B05-38CF-1B9C-4426-1F604BBCF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141515</xdr:colOff>
      <xdr:row>29</xdr:row>
      <xdr:rowOff>92528</xdr:rowOff>
    </xdr:from>
    <xdr:to>
      <xdr:col>17</xdr:col>
      <xdr:colOff>740230</xdr:colOff>
      <xdr:row>38</xdr:row>
      <xdr:rowOff>81642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D0713FF2-05ED-E4B9-8F05-84FA91164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163286</xdr:colOff>
      <xdr:row>33</xdr:row>
      <xdr:rowOff>48986</xdr:rowOff>
    </xdr:from>
    <xdr:to>
      <xdr:col>10</xdr:col>
      <xdr:colOff>435429</xdr:colOff>
      <xdr:row>54</xdr:row>
      <xdr:rowOff>76200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2C5E9E0B-5628-4B82-A108-7F3AB3640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54428</xdr:colOff>
      <xdr:row>59</xdr:row>
      <xdr:rowOff>157843</xdr:rowOff>
    </xdr:from>
    <xdr:to>
      <xdr:col>9</xdr:col>
      <xdr:colOff>457199</xdr:colOff>
      <xdr:row>81</xdr:row>
      <xdr:rowOff>87086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6A7586C-9FE7-D7F1-1BDD-26416CE34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54428</xdr:colOff>
      <xdr:row>59</xdr:row>
      <xdr:rowOff>146957</xdr:rowOff>
    </xdr:from>
    <xdr:to>
      <xdr:col>17</xdr:col>
      <xdr:colOff>653143</xdr:colOff>
      <xdr:row>74</xdr:row>
      <xdr:rowOff>114300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4A8DD3E1-E416-85C4-C3E7-54A4FB08E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566057</xdr:colOff>
      <xdr:row>40</xdr:row>
      <xdr:rowOff>288471</xdr:rowOff>
    </xdr:from>
    <xdr:to>
      <xdr:col>18</xdr:col>
      <xdr:colOff>370114</xdr:colOff>
      <xdr:row>54</xdr:row>
      <xdr:rowOff>70756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CBBF6203-ACDE-7091-C473-441B88658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163285</xdr:colOff>
      <xdr:row>48</xdr:row>
      <xdr:rowOff>81643</xdr:rowOff>
    </xdr:from>
    <xdr:to>
      <xdr:col>24</xdr:col>
      <xdr:colOff>762000</xdr:colOff>
      <xdr:row>63</xdr:row>
      <xdr:rowOff>48986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406EF63F-B6B4-83B8-6E9F-7F20DF0E8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FAAB-4F68-478C-9D04-40062C5D42BC}">
  <dimension ref="A1:X47"/>
  <sheetViews>
    <sheetView tabSelected="1" topLeftCell="A14" zoomScale="70" zoomScaleNormal="70" workbookViewId="0">
      <selection activeCell="N22" sqref="N22"/>
    </sheetView>
  </sheetViews>
  <sheetFormatPr baseColWidth="10" defaultRowHeight="14.4" x14ac:dyDescent="0.3"/>
  <sheetData>
    <row r="1" spans="1:17" x14ac:dyDescent="0.3">
      <c r="A1" s="1" t="s">
        <v>28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28</v>
      </c>
      <c r="H1" s="1" t="s">
        <v>1</v>
      </c>
      <c r="I1" s="1" t="s">
        <v>2</v>
      </c>
      <c r="J1" s="1" t="s">
        <v>3</v>
      </c>
      <c r="K1" s="1" t="s">
        <v>4</v>
      </c>
      <c r="M1" s="1" t="s">
        <v>28</v>
      </c>
      <c r="N1" s="1" t="s">
        <v>1</v>
      </c>
      <c r="O1" s="1" t="s">
        <v>2</v>
      </c>
      <c r="P1" s="1" t="s">
        <v>3</v>
      </c>
      <c r="Q1" s="1" t="s">
        <v>4</v>
      </c>
    </row>
    <row r="2" spans="1:17" x14ac:dyDescent="0.3">
      <c r="A2" s="1" t="s">
        <v>0</v>
      </c>
      <c r="B2" s="1" t="s">
        <v>7</v>
      </c>
      <c r="C2" s="1" t="s">
        <v>7</v>
      </c>
      <c r="D2" s="1" t="s">
        <v>7</v>
      </c>
      <c r="E2" s="1" t="s">
        <v>7</v>
      </c>
      <c r="F2" s="1"/>
      <c r="G2" s="1" t="s">
        <v>0</v>
      </c>
      <c r="H2" s="1" t="s">
        <v>8</v>
      </c>
      <c r="I2" s="1" t="s">
        <v>8</v>
      </c>
      <c r="J2" s="1" t="s">
        <v>8</v>
      </c>
      <c r="K2" s="1" t="s">
        <v>8</v>
      </c>
      <c r="M2" s="1" t="s">
        <v>0</v>
      </c>
      <c r="N2" s="2" t="s">
        <v>11</v>
      </c>
      <c r="O2" s="2" t="s">
        <v>11</v>
      </c>
      <c r="P2" s="2" t="s">
        <v>11</v>
      </c>
      <c r="Q2" s="2" t="s">
        <v>11</v>
      </c>
    </row>
    <row r="3" spans="1:17" x14ac:dyDescent="0.3">
      <c r="A3" s="1" t="s">
        <v>5</v>
      </c>
      <c r="B3" s="1" t="s">
        <v>20</v>
      </c>
      <c r="C3" s="1">
        <v>6</v>
      </c>
      <c r="D3" s="1" t="s">
        <v>22</v>
      </c>
      <c r="E3" s="1" t="s">
        <v>20</v>
      </c>
      <c r="F3" s="1"/>
      <c r="G3" s="1" t="s">
        <v>5</v>
      </c>
      <c r="H3" s="1" t="s">
        <v>20</v>
      </c>
      <c r="I3" s="1">
        <v>6</v>
      </c>
      <c r="J3" s="1" t="s">
        <v>22</v>
      </c>
      <c r="K3" s="1" t="s">
        <v>20</v>
      </c>
      <c r="M3" s="1" t="s">
        <v>5</v>
      </c>
      <c r="N3" s="1" t="s">
        <v>20</v>
      </c>
      <c r="O3" s="1">
        <v>6</v>
      </c>
      <c r="P3" s="1" t="s">
        <v>22</v>
      </c>
      <c r="Q3" s="1" t="s">
        <v>20</v>
      </c>
    </row>
    <row r="4" spans="1:17" ht="28.8" x14ac:dyDescent="0.3">
      <c r="A4" s="3" t="s">
        <v>21</v>
      </c>
      <c r="B4" s="1">
        <v>46.534999999999997</v>
      </c>
      <c r="C4" s="1">
        <v>9.3059999999999992</v>
      </c>
      <c r="D4" s="1">
        <v>9.3267310000000005</v>
      </c>
      <c r="E4" s="1">
        <v>5.8103000000000002E-2</v>
      </c>
      <c r="F4" s="1"/>
      <c r="G4" s="3" t="s">
        <v>21</v>
      </c>
      <c r="H4" s="1">
        <v>184.744</v>
      </c>
      <c r="I4" s="1">
        <v>36.371000000000002</v>
      </c>
      <c r="J4" s="1">
        <v>36.603769999999997</v>
      </c>
      <c r="K4" s="1">
        <v>0.26892700000000003</v>
      </c>
      <c r="M4" s="3" t="s">
        <v>21</v>
      </c>
      <c r="N4" s="1">
        <v>931.87900000000002</v>
      </c>
      <c r="O4" s="1">
        <v>143.667</v>
      </c>
      <c r="P4" s="1">
        <v>144.50093200000001</v>
      </c>
      <c r="Q4" s="1">
        <v>0.675956</v>
      </c>
    </row>
    <row r="5" spans="1:17" x14ac:dyDescent="0.3">
      <c r="A5" s="1" t="s">
        <v>6</v>
      </c>
      <c r="B5" s="1">
        <f>(2000*2000*500)/(B4*1000000)</f>
        <v>42.97840335231546</v>
      </c>
      <c r="C5" s="1">
        <f t="shared" ref="C5:E5" si="0">(2000*2000*500)/(C4*1000000)</f>
        <v>214.91510853212981</v>
      </c>
      <c r="D5" s="1">
        <f t="shared" si="0"/>
        <v>214.43740577486366</v>
      </c>
      <c r="E5" s="1">
        <f t="shared" si="0"/>
        <v>34421.630552639275</v>
      </c>
      <c r="F5" s="1"/>
      <c r="G5" s="1" t="s">
        <v>6</v>
      </c>
      <c r="H5" s="1">
        <f>(4000*4000*500)/(H4*1000000)</f>
        <v>43.303165461395231</v>
      </c>
      <c r="I5" s="1">
        <f t="shared" ref="I5:K5" si="1">(4000*4000*500)/(I4*1000000)</f>
        <v>219.95545901954853</v>
      </c>
      <c r="J5" s="1">
        <f t="shared" si="1"/>
        <v>218.55672243596766</v>
      </c>
      <c r="K5" s="1">
        <f t="shared" si="1"/>
        <v>29747.849788232495</v>
      </c>
      <c r="M5" s="1" t="s">
        <v>6</v>
      </c>
      <c r="N5" s="1">
        <f>(8000*8000*500)/(N4*1000000)</f>
        <v>34.33922215223221</v>
      </c>
      <c r="O5" s="1">
        <f t="shared" ref="O5:Q5" si="2">(8000*8000*500)/(O4*1000000)</f>
        <v>222.73730223363751</v>
      </c>
      <c r="P5" s="1">
        <f t="shared" si="2"/>
        <v>221.45185887105558</v>
      </c>
      <c r="Q5" s="1">
        <f t="shared" si="2"/>
        <v>47340.359431678982</v>
      </c>
    </row>
    <row r="6" spans="1:17" x14ac:dyDescent="0.3">
      <c r="A6" t="s">
        <v>9</v>
      </c>
      <c r="B6" s="1" t="s">
        <v>20</v>
      </c>
      <c r="C6" s="5">
        <f>C7/6</f>
        <v>0.8334228812952218</v>
      </c>
      <c r="D6" s="5">
        <f>D7/6</f>
        <v>0.83157038981110665</v>
      </c>
      <c r="E6" s="1" t="s">
        <v>20</v>
      </c>
      <c r="F6" s="1"/>
      <c r="G6" t="s">
        <v>9</v>
      </c>
      <c r="H6" s="1" t="s">
        <v>20</v>
      </c>
      <c r="I6" s="5">
        <f>I7/6</f>
        <v>0.84657190252307235</v>
      </c>
      <c r="J6" s="5">
        <f>J7/6</f>
        <v>0.84118839853563365</v>
      </c>
      <c r="K6" s="1" t="s">
        <v>20</v>
      </c>
      <c r="M6" t="s">
        <v>9</v>
      </c>
      <c r="N6" s="1" t="s">
        <v>20</v>
      </c>
      <c r="O6" s="7">
        <f>O7/6</f>
        <v>1.0810636170217702</v>
      </c>
      <c r="P6" s="7">
        <f>P7/6</f>
        <v>1.0748246707963562</v>
      </c>
      <c r="Q6" s="1" t="s">
        <v>20</v>
      </c>
    </row>
    <row r="7" spans="1:17" x14ac:dyDescent="0.3">
      <c r="A7" t="s">
        <v>10</v>
      </c>
      <c r="B7" s="1">
        <v>1</v>
      </c>
      <c r="C7" s="1">
        <f>B4/C4</f>
        <v>5.0005372877713308</v>
      </c>
      <c r="D7" s="1">
        <f>B4/D4</f>
        <v>4.9894223388666399</v>
      </c>
      <c r="E7" s="1">
        <f>B4/E4</f>
        <v>800.90528888353435</v>
      </c>
      <c r="F7" s="1"/>
      <c r="G7" t="s">
        <v>10</v>
      </c>
      <c r="H7" s="1">
        <v>1</v>
      </c>
      <c r="I7" s="1">
        <f>H4/I4</f>
        <v>5.0794314151384343</v>
      </c>
      <c r="J7" s="1">
        <f>H4/J4</f>
        <v>5.0471303912138019</v>
      </c>
      <c r="K7" s="1">
        <f>H4/K4</f>
        <v>686.9670951596529</v>
      </c>
      <c r="M7" t="s">
        <v>10</v>
      </c>
      <c r="N7">
        <v>1</v>
      </c>
      <c r="O7" s="1">
        <f>N4/O4</f>
        <v>6.4863817021306218</v>
      </c>
      <c r="P7" s="1">
        <f>N4/P4</f>
        <v>6.4489480247781374</v>
      </c>
      <c r="Q7">
        <f>N4/Q4</f>
        <v>1378.6089627135493</v>
      </c>
    </row>
    <row r="8" spans="1:17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7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7" x14ac:dyDescent="0.3">
      <c r="A10" s="1"/>
      <c r="B10" s="1"/>
      <c r="C10" s="1"/>
      <c r="D10" s="1"/>
      <c r="E10" s="1"/>
      <c r="F10" s="1"/>
    </row>
    <row r="11" spans="1:17" ht="15" thickBot="1" x14ac:dyDescent="0.35">
      <c r="A11" s="1"/>
      <c r="B11" s="1"/>
      <c r="C11" s="1"/>
      <c r="D11" s="1"/>
      <c r="E11" s="1"/>
      <c r="F11" s="1"/>
    </row>
    <row r="12" spans="1:17" ht="28.2" thickBot="1" x14ac:dyDescent="0.35">
      <c r="A12" s="1"/>
      <c r="B12" s="1"/>
      <c r="C12" s="1"/>
      <c r="D12" s="1"/>
      <c r="E12" s="1"/>
      <c r="F12" s="1"/>
      <c r="K12" s="8" t="s">
        <v>37</v>
      </c>
      <c r="L12" s="8" t="s">
        <v>36</v>
      </c>
      <c r="M12" s="8" t="s">
        <v>33</v>
      </c>
      <c r="N12" s="8" t="s">
        <v>35</v>
      </c>
      <c r="O12" s="9" t="s">
        <v>34</v>
      </c>
    </row>
    <row r="13" spans="1:17" x14ac:dyDescent="0.3">
      <c r="A13" s="1"/>
      <c r="B13" s="1"/>
      <c r="C13" s="1"/>
      <c r="D13" s="1"/>
      <c r="E13" s="1"/>
      <c r="F13" s="1"/>
      <c r="K13" t="s">
        <v>7</v>
      </c>
      <c r="L13">
        <f>B5</f>
        <v>42.97840335231546</v>
      </c>
      <c r="M13">
        <f>C5</f>
        <v>214.91510853212981</v>
      </c>
      <c r="N13">
        <f>D5</f>
        <v>214.43740577486366</v>
      </c>
      <c r="O13">
        <f>E5</f>
        <v>34421.630552639275</v>
      </c>
    </row>
    <row r="14" spans="1:17" x14ac:dyDescent="0.3">
      <c r="A14" s="1"/>
      <c r="B14" s="1"/>
      <c r="C14" s="1"/>
      <c r="D14" s="1"/>
      <c r="E14" s="1"/>
      <c r="F14" s="1"/>
      <c r="K14" t="s">
        <v>8</v>
      </c>
      <c r="L14">
        <f>H5</f>
        <v>43.303165461395231</v>
      </c>
      <c r="M14">
        <f>I5</f>
        <v>219.95545901954853</v>
      </c>
      <c r="N14">
        <f>J5</f>
        <v>218.55672243596766</v>
      </c>
      <c r="O14">
        <f>K5</f>
        <v>29747.849788232495</v>
      </c>
    </row>
    <row r="15" spans="1:17" x14ac:dyDescent="0.3">
      <c r="A15" s="1"/>
      <c r="B15" s="1"/>
      <c r="C15" s="1"/>
      <c r="D15" s="1"/>
      <c r="E15" s="1"/>
      <c r="F15" s="1"/>
      <c r="K15" t="s">
        <v>11</v>
      </c>
      <c r="L15">
        <f>N5</f>
        <v>34.33922215223221</v>
      </c>
      <c r="M15">
        <f>O5</f>
        <v>222.73730223363751</v>
      </c>
      <c r="N15">
        <f t="shared" ref="N15:O15" si="3">P5</f>
        <v>221.45185887105558</v>
      </c>
      <c r="O15">
        <f t="shared" si="3"/>
        <v>47340.359431678982</v>
      </c>
    </row>
    <row r="17" spans="1:18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8" x14ac:dyDescent="0.3">
      <c r="A18" s="3" t="s">
        <v>13</v>
      </c>
      <c r="B18" s="4" t="s">
        <v>14</v>
      </c>
      <c r="C18" s="3"/>
      <c r="D18" s="3"/>
      <c r="E18" s="3"/>
      <c r="F18" s="3"/>
      <c r="G18" s="3"/>
      <c r="H18" s="3"/>
      <c r="N18" s="3" t="s">
        <v>17</v>
      </c>
      <c r="O18" s="4" t="s">
        <v>18</v>
      </c>
      <c r="P18" s="4"/>
    </row>
    <row r="19" spans="1:18" ht="28.8" x14ac:dyDescent="0.3">
      <c r="A19" s="3" t="s">
        <v>12</v>
      </c>
      <c r="B19" s="3">
        <v>1</v>
      </c>
      <c r="C19" s="3">
        <v>10</v>
      </c>
      <c r="D19" s="3">
        <v>100</v>
      </c>
      <c r="E19" s="3">
        <v>1000</v>
      </c>
      <c r="F19" s="3" t="s">
        <v>29</v>
      </c>
      <c r="G19" s="3" t="s">
        <v>30</v>
      </c>
      <c r="H19" s="3" t="s">
        <v>32</v>
      </c>
      <c r="N19" s="3" t="s">
        <v>16</v>
      </c>
      <c r="O19" s="4"/>
      <c r="P19" s="4"/>
    </row>
    <row r="20" spans="1:18" ht="28.8" x14ac:dyDescent="0.3">
      <c r="A20" s="3" t="s">
        <v>23</v>
      </c>
      <c r="B20" s="3">
        <v>7.9000000000000001E-2</v>
      </c>
      <c r="C20" s="3">
        <v>0.77</v>
      </c>
      <c r="D20" s="3">
        <v>7.2140000000000004</v>
      </c>
      <c r="E20" s="3">
        <v>69.024000000000001</v>
      </c>
      <c r="F20" s="3">
        <v>1</v>
      </c>
      <c r="G20" s="3" t="s">
        <v>20</v>
      </c>
      <c r="H20" s="3">
        <f>(1760*1696*1000)/(E20*1000000)</f>
        <v>43.24524802967084</v>
      </c>
      <c r="N20" s="3" t="s">
        <v>19</v>
      </c>
      <c r="O20" s="4" t="s">
        <v>27</v>
      </c>
      <c r="P20" s="3" t="s">
        <v>10</v>
      </c>
      <c r="Q20" s="3" t="s">
        <v>9</v>
      </c>
      <c r="R20" s="3" t="s">
        <v>6</v>
      </c>
    </row>
    <row r="21" spans="1:18" ht="57.6" x14ac:dyDescent="0.3">
      <c r="A21" s="3" t="s">
        <v>26</v>
      </c>
      <c r="B21" s="3">
        <v>0.02</v>
      </c>
      <c r="C21" s="3">
        <v>0.17699999999999999</v>
      </c>
      <c r="D21" s="3">
        <v>1.492</v>
      </c>
      <c r="E21" s="3">
        <v>13.561999999999999</v>
      </c>
      <c r="F21" s="3">
        <f>E20/E21</f>
        <v>5.0895148208228882</v>
      </c>
      <c r="G21" s="6">
        <f>F21/6</f>
        <v>0.848252470137148</v>
      </c>
      <c r="H21" s="3">
        <f t="shared" ref="H21:H22" si="4">(1760*1696*1000)/(E21*1000000)</f>
        <v>220.09733077717152</v>
      </c>
      <c r="N21" s="3">
        <v>1</v>
      </c>
      <c r="O21" s="4">
        <v>2.516</v>
      </c>
      <c r="P21" s="3">
        <v>1</v>
      </c>
      <c r="Q21" s="1">
        <v>1</v>
      </c>
      <c r="R21">
        <f>(100*100*10000)/(O21*1000000)</f>
        <v>39.745627980922102</v>
      </c>
    </row>
    <row r="22" spans="1:18" ht="43.2" x14ac:dyDescent="0.3">
      <c r="A22" s="3" t="s">
        <v>24</v>
      </c>
      <c r="B22" s="3">
        <v>1.7860000000000001E-2</v>
      </c>
      <c r="C22" s="3">
        <v>0.185085</v>
      </c>
      <c r="D22" s="3">
        <v>1.5081960000000001</v>
      </c>
      <c r="E22" s="3">
        <v>12.458738</v>
      </c>
      <c r="F22" s="3">
        <f>E20/E22</f>
        <v>5.5402080050162388</v>
      </c>
      <c r="G22" s="6">
        <f>F22/6</f>
        <v>0.92336800083603976</v>
      </c>
      <c r="H22" s="3">
        <f t="shared" si="4"/>
        <v>239.58766931289509</v>
      </c>
      <c r="N22" s="3">
        <v>2</v>
      </c>
      <c r="O22" s="4">
        <v>1.526</v>
      </c>
      <c r="P22" s="3">
        <f>O21/O22</f>
        <v>1.6487549148099607</v>
      </c>
      <c r="Q22" s="6">
        <f>P22/2</f>
        <v>0.82437745740498036</v>
      </c>
      <c r="R22">
        <f t="shared" ref="R22:R25" si="5">(100*100*10000)/(O22*1000000)</f>
        <v>65.530799475753611</v>
      </c>
    </row>
    <row r="23" spans="1:18" ht="28.8" x14ac:dyDescent="0.3">
      <c r="A23" s="3" t="s">
        <v>25</v>
      </c>
      <c r="B23" s="3">
        <v>5.3399999999999997E-4</v>
      </c>
      <c r="C23" s="3">
        <v>1.073E-3</v>
      </c>
      <c r="D23" s="3">
        <v>6.6389999999999999E-3</v>
      </c>
      <c r="E23" s="3">
        <v>5.9404999999999999E-2</v>
      </c>
      <c r="F23" s="3">
        <f>E20/E23</f>
        <v>1161.9223971046208</v>
      </c>
      <c r="G23" s="3" t="s">
        <v>20</v>
      </c>
      <c r="H23" s="3">
        <f>(1760*1696*1000)/(E23*1000000)</f>
        <v>50247.622254019021</v>
      </c>
      <c r="N23" s="3">
        <v>4</v>
      </c>
      <c r="O23" s="4">
        <v>1.044</v>
      </c>
      <c r="P23" s="3">
        <f>O21/O23</f>
        <v>2.4099616858237547</v>
      </c>
      <c r="Q23" s="6">
        <f t="shared" ref="Q23:Q25" si="6">P23/N23</f>
        <v>0.60249042145593867</v>
      </c>
      <c r="R23">
        <f t="shared" si="5"/>
        <v>95.785440613026822</v>
      </c>
    </row>
    <row r="24" spans="1:18" x14ac:dyDescent="0.3">
      <c r="A24" s="3"/>
      <c r="B24" s="3"/>
      <c r="C24" s="3"/>
      <c r="D24" s="3"/>
      <c r="E24" s="3"/>
      <c r="F24" s="3"/>
      <c r="G24" s="3"/>
      <c r="H24" s="3"/>
      <c r="N24" s="3">
        <v>6</v>
      </c>
      <c r="O24" s="4">
        <v>0.94</v>
      </c>
      <c r="P24" s="3">
        <f>O21/O24</f>
        <v>2.676595744680851</v>
      </c>
      <c r="Q24" s="6">
        <f t="shared" si="6"/>
        <v>0.44609929078014182</v>
      </c>
      <c r="R24">
        <f t="shared" si="5"/>
        <v>106.38297872340425</v>
      </c>
    </row>
    <row r="25" spans="1:18" x14ac:dyDescent="0.3">
      <c r="A25" s="3"/>
      <c r="B25" s="3"/>
      <c r="C25" s="3"/>
      <c r="D25" s="3"/>
      <c r="E25" s="3"/>
      <c r="F25" s="3"/>
      <c r="G25" s="3"/>
      <c r="H25" s="3"/>
      <c r="N25" s="3">
        <v>8</v>
      </c>
      <c r="O25" s="4">
        <v>1.0449999999999999</v>
      </c>
      <c r="P25" s="3">
        <f>O21/O25</f>
        <v>2.4076555023923447</v>
      </c>
      <c r="Q25" s="6">
        <f t="shared" si="6"/>
        <v>0.30095693779904309</v>
      </c>
      <c r="R25">
        <f t="shared" si="5"/>
        <v>95.693779904306226</v>
      </c>
    </row>
    <row r="26" spans="1:18" x14ac:dyDescent="0.3">
      <c r="A26" s="3"/>
      <c r="B26" s="3"/>
      <c r="C26" s="3"/>
      <c r="D26" s="3"/>
      <c r="E26" s="3"/>
      <c r="F26" s="3"/>
      <c r="G26" s="3"/>
      <c r="H26" s="3"/>
      <c r="I26" s="3"/>
      <c r="J26" s="4"/>
      <c r="K26" s="4"/>
    </row>
    <row r="27" spans="1:18" x14ac:dyDescent="0.3">
      <c r="A27" s="3" t="s">
        <v>13</v>
      </c>
      <c r="B27" s="4" t="s">
        <v>15</v>
      </c>
      <c r="C27" s="3"/>
      <c r="D27" s="3"/>
      <c r="E27" s="3"/>
      <c r="F27" s="3"/>
      <c r="G27" s="3"/>
      <c r="H27" s="3"/>
      <c r="I27" s="3"/>
      <c r="J27" s="4"/>
      <c r="K27" s="4"/>
    </row>
    <row r="28" spans="1:18" ht="28.8" x14ac:dyDescent="0.3">
      <c r="A28" s="3" t="s">
        <v>12</v>
      </c>
      <c r="B28" s="3">
        <v>1</v>
      </c>
      <c r="C28" s="3">
        <v>100</v>
      </c>
      <c r="D28" s="3">
        <v>10000</v>
      </c>
      <c r="E28" s="3">
        <v>1000000</v>
      </c>
      <c r="F28" s="3" t="s">
        <v>31</v>
      </c>
      <c r="G28" s="3" t="s">
        <v>30</v>
      </c>
      <c r="H28" s="3" t="s">
        <v>32</v>
      </c>
      <c r="I28" s="3"/>
      <c r="J28" s="4"/>
      <c r="K28" s="4"/>
    </row>
    <row r="29" spans="1:18" ht="28.8" x14ac:dyDescent="0.3">
      <c r="A29" s="3" t="s">
        <v>23</v>
      </c>
      <c r="B29" s="3">
        <v>0</v>
      </c>
      <c r="C29" s="10">
        <v>7.0000000000000001E-3</v>
      </c>
      <c r="D29" s="3">
        <v>0.63800000000000001</v>
      </c>
      <c r="E29" s="3">
        <v>64.685000000000002</v>
      </c>
      <c r="F29" s="3">
        <v>1</v>
      </c>
      <c r="G29" s="3" t="s">
        <v>20</v>
      </c>
      <c r="H29" s="3">
        <f>(50*50*1000000)/(E29*1000000)</f>
        <v>38.64883667001623</v>
      </c>
      <c r="I29" s="3"/>
      <c r="J29" s="4"/>
      <c r="K29" s="4"/>
    </row>
    <row r="30" spans="1:18" ht="57.6" x14ac:dyDescent="0.3">
      <c r="A30" s="3" t="s">
        <v>26</v>
      </c>
      <c r="B30" s="3">
        <v>0</v>
      </c>
      <c r="C30" s="3">
        <v>6.0000000000000001E-3</v>
      </c>
      <c r="D30" s="3">
        <v>0.55300000000000005</v>
      </c>
      <c r="E30" s="3">
        <v>54.098999999999997</v>
      </c>
      <c r="F30" s="3">
        <f>E29/E30</f>
        <v>1.1956782934989558</v>
      </c>
      <c r="G30" s="6">
        <f>F30/6</f>
        <v>0.19927971558315929</v>
      </c>
      <c r="H30" s="3">
        <f t="shared" ref="H30:H32" si="7">(50*50*1000000)/(E30*1000000)</f>
        <v>46.211575075324866</v>
      </c>
      <c r="I30" s="3"/>
      <c r="J30" s="4"/>
      <c r="K30" s="4"/>
    </row>
    <row r="31" spans="1:18" ht="43.2" x14ac:dyDescent="0.3">
      <c r="A31" s="3" t="s">
        <v>24</v>
      </c>
      <c r="B31" s="3">
        <v>3.0200000000000002E-4</v>
      </c>
      <c r="C31" s="3">
        <v>4.679E-3</v>
      </c>
      <c r="D31" s="3">
        <v>0.39128200000000002</v>
      </c>
      <c r="E31" s="3">
        <v>38.834336</v>
      </c>
      <c r="F31" s="3">
        <f>E29/E31</f>
        <v>1.6656651474612569</v>
      </c>
      <c r="G31" s="6">
        <f>F31/6</f>
        <v>0.27761085791020951</v>
      </c>
      <c r="H31" s="3">
        <f t="shared" si="7"/>
        <v>64.376020231168624</v>
      </c>
      <c r="I31" s="3"/>
      <c r="J31" s="4"/>
      <c r="K31" s="4"/>
    </row>
    <row r="32" spans="1:18" ht="28.8" x14ac:dyDescent="0.3">
      <c r="A32" s="3" t="s">
        <v>25</v>
      </c>
      <c r="B32" s="3">
        <v>2.7900000000000001E-4</v>
      </c>
      <c r="C32" s="3">
        <v>3.7490000000000002E-3</v>
      </c>
      <c r="D32" s="3">
        <v>8.1854999999999997E-2</v>
      </c>
      <c r="E32" s="3">
        <v>7.4561250000000001</v>
      </c>
      <c r="F32" s="3">
        <f>E29/E32</f>
        <v>8.6754178611544202</v>
      </c>
      <c r="G32" s="3" t="s">
        <v>20</v>
      </c>
      <c r="H32" s="3">
        <f t="shared" si="7"/>
        <v>335.29480795989872</v>
      </c>
      <c r="I32" s="3"/>
      <c r="J32" s="4"/>
      <c r="K32" s="4"/>
    </row>
    <row r="33" spans="1:24" x14ac:dyDescent="0.3">
      <c r="A33" s="1"/>
      <c r="B33" s="1"/>
      <c r="C33" s="1"/>
      <c r="D33" s="1"/>
      <c r="E33" s="1"/>
    </row>
    <row r="40" spans="1:24" x14ac:dyDescent="0.3">
      <c r="T40" s="3" t="s">
        <v>17</v>
      </c>
      <c r="U40" s="4" t="s">
        <v>11</v>
      </c>
      <c r="V40" s="4"/>
    </row>
    <row r="41" spans="1:24" ht="28.8" x14ac:dyDescent="0.3">
      <c r="T41" s="3" t="s">
        <v>38</v>
      </c>
      <c r="U41" s="4"/>
      <c r="V41" s="4"/>
    </row>
    <row r="42" spans="1:24" ht="28.8" x14ac:dyDescent="0.3">
      <c r="T42" s="3" t="s">
        <v>19</v>
      </c>
      <c r="U42" s="4" t="s">
        <v>27</v>
      </c>
      <c r="V42" s="3" t="s">
        <v>10</v>
      </c>
      <c r="W42" s="3" t="s">
        <v>9</v>
      </c>
      <c r="X42" s="3" t="s">
        <v>6</v>
      </c>
    </row>
    <row r="43" spans="1:24" x14ac:dyDescent="0.3">
      <c r="T43" s="3">
        <v>1</v>
      </c>
      <c r="U43" s="4">
        <v>381.065</v>
      </c>
      <c r="V43" s="3">
        <v>1</v>
      </c>
      <c r="W43" s="1">
        <v>1</v>
      </c>
      <c r="X43">
        <f>(8000*8000*250)/(U43*1000000)</f>
        <v>41.987587419469122</v>
      </c>
    </row>
    <row r="44" spans="1:24" x14ac:dyDescent="0.3">
      <c r="T44" s="3">
        <v>2</v>
      </c>
      <c r="U44" s="4">
        <v>194.34299999999999</v>
      </c>
      <c r="V44" s="3">
        <f>U43/U44</f>
        <v>1.960785827120092</v>
      </c>
      <c r="W44" s="6">
        <f>V44/T44</f>
        <v>0.98039291356004599</v>
      </c>
      <c r="X44">
        <f t="shared" ref="X44:X47" si="8">(8000*8000*250)/(U44*1000000)</f>
        <v>82.328666327060915</v>
      </c>
    </row>
    <row r="45" spans="1:24" x14ac:dyDescent="0.3">
      <c r="T45" s="3">
        <v>4</v>
      </c>
      <c r="U45" s="4">
        <v>103.437</v>
      </c>
      <c r="V45" s="3">
        <f>U43/U45</f>
        <v>3.6840298925916257</v>
      </c>
      <c r="W45" s="6">
        <f t="shared" ref="W45:W47" si="9">V45/T45</f>
        <v>0.92100747314790643</v>
      </c>
      <c r="X45">
        <f t="shared" si="8"/>
        <v>154.68352717112833</v>
      </c>
    </row>
    <row r="46" spans="1:24" x14ac:dyDescent="0.3">
      <c r="T46" s="3">
        <v>6</v>
      </c>
      <c r="U46" s="4">
        <v>78.087000000000003</v>
      </c>
      <c r="V46" s="3">
        <f>U43/U46</f>
        <v>4.8800056347407379</v>
      </c>
      <c r="W46" s="6">
        <f t="shared" si="9"/>
        <v>0.81333427245678969</v>
      </c>
      <c r="X46">
        <f t="shared" si="8"/>
        <v>204.89966319617861</v>
      </c>
    </row>
    <row r="47" spans="1:24" x14ac:dyDescent="0.3">
      <c r="T47" s="3">
        <v>8</v>
      </c>
      <c r="U47" s="4">
        <v>82.501999999999995</v>
      </c>
      <c r="V47" s="3">
        <f>U43/U47</f>
        <v>4.6188577246612201</v>
      </c>
      <c r="W47" s="6">
        <f t="shared" si="9"/>
        <v>0.57735721558265252</v>
      </c>
      <c r="X47">
        <f t="shared" si="8"/>
        <v>193.93469249230321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CHANET</dc:creator>
  <cp:lastModifiedBy>Lucas CHANET</cp:lastModifiedBy>
  <dcterms:created xsi:type="dcterms:W3CDTF">2026-06-01T12:00:58Z</dcterms:created>
  <dcterms:modified xsi:type="dcterms:W3CDTF">2026-06-01T23:40:51Z</dcterms:modified>
</cp:coreProperties>
</file>